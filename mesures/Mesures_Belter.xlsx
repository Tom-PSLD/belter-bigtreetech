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2"/>
    <sheet name="1_Etalonnage" sheetId="2" state="visible" r:id="rId3"/>
    <sheet name="2_Ressor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<sst xmlns="http://schemas.openxmlformats.org/spreadsheetml/2006/main" count="169" uniqueCount="124">
  <si>
    <t xml:space="preserve">Mesures du Belter : feuille à remplir</t>
  </si>
  <si>
    <t xml:space="preserve">Légende</t>
  </si>
  <si>
    <t xml:space="preserve">Cellules à fond jaune et texte bleu : à remplir.</t>
  </si>
  <si>
    <t xml:space="preserve">Cellules à fond bleu clair : résultats calculés automatiquement, ne pas modifier.</t>
  </si>
  <si>
    <t xml:space="preserve">Lignes grises « EXEMPLE » : montrent le format attendu, elles ne sont pas prises en compte dans les calculs.</t>
  </si>
  <si>
    <t xml:space="preserve">Toutes les longueurs en mm, les masses en g. Séparateur décimal : virgule.</t>
  </si>
  <si>
    <t xml:space="preserve">Ordre des opérations</t>
  </si>
  <si>
    <t xml:space="preserve">1. Ressort monté : noter x0 (longueur de tige au zéro) et l'affichage au zéro, en haut de l'onglet « 1_Etalonnage ».</t>
  </si>
  <si>
    <t xml:space="preserve">2. Montée : pour chaque masse, 3 lectures de la tige au pied à coulisse + 3 lectures de l'affichage, relevées en même temps.</t>
  </si>
  <si>
    <t xml:space="preserve">3. Descente : même chose en retirant les masses de 200 g à 52 g.</t>
  </si>
  <si>
    <t xml:space="preserve">4. Revérifier x0 et l'affichage au zéro (cases « après essais »).</t>
  </si>
  <si>
    <t xml:space="preserve">5. Avant démontage : mesurer Lp (longueur du ressort monté, entre les points intérieurs des boucles), onglet « 2_Ressort ».</t>
  </si>
  <si>
    <t xml:space="preserve">6. Peser la tige et le curseur si une balance est disponible.</t>
  </si>
  <si>
    <t xml:space="preserve">7. Ressort démonté : L0 intérieur et extérieur, corps de spires, nombre de spires, spires jointives oui/non, fil, De.</t>
  </si>
  <si>
    <t xml:space="preserve">8. Après remontage : vérifier que la tige revient à x0.</t>
  </si>
  <si>
    <t xml:space="preserve">Remarques</t>
  </si>
  <si>
    <t xml:space="preserve">Toujours mesurer la tige au même endroit, avec le même instrument (pied à coulisse).</t>
  </si>
  <si>
    <t xml:space="preserve">Pour L0 et Lp, poser les becs aux mêmes points : l'intérieur des boucles, là où elles s'appuient sur les crochets.</t>
  </si>
  <si>
    <t xml:space="preserve">Si les masses utilisées diffèrent, modifier simplement la colonne « Masse » : tous les calculs suivent.</t>
  </si>
  <si>
    <t xml:space="preserve">Étalonnage du Belter : tige et affichage en fonction de la masse</t>
  </si>
  <si>
    <t xml:space="preserve">Résultats (calcul automatique)</t>
  </si>
  <si>
    <t xml:space="preserve">g (m/s²)</t>
  </si>
  <si>
    <t xml:space="preserve">Constante (modifiable)</t>
  </si>
  <si>
    <t xml:space="preserve">TIGE — montée seule</t>
  </si>
  <si>
    <t xml:space="preserve">x0 : longueur de tige au zéro, AVANT essais (mm)</t>
  </si>
  <si>
    <t xml:space="preserve">Exemple : 27,0</t>
  </si>
  <si>
    <t xml:space="preserve">Raideur k (N/mm)</t>
  </si>
  <si>
    <t xml:space="preserve">Affichage au zéro, AVANT essais</t>
  </si>
  <si>
    <t xml:space="preserve">Précharge F0 (N)</t>
  </si>
  <si>
    <t xml:space="preserve">x0 : longueur de tige au zéro, APRÈS essais (mm)</t>
  </si>
  <si>
    <t xml:space="preserve">R²</t>
  </si>
  <si>
    <t xml:space="preserve">Affichage au zéro, APRÈS essais</t>
  </si>
  <si>
    <t xml:space="preserve">TIGE — montée + descente</t>
  </si>
  <si>
    <t xml:space="preserve">Unité de l'affichage (mm, graduation…)</t>
  </si>
  <si>
    <t xml:space="preserve">mm</t>
  </si>
  <si>
    <t xml:space="preserve">Sens</t>
  </si>
  <si>
    <t xml:space="preserve">Masse (g)</t>
  </si>
  <si>
    <t xml:space="preserve">F = m·g (N)</t>
  </si>
  <si>
    <t xml:space="preserve">Tige x1 (mm)</t>
  </si>
  <si>
    <t xml:space="preserve">Tige x2 (mm)</t>
  </si>
  <si>
    <t xml:space="preserve">Tige x3 (mm)</t>
  </si>
  <si>
    <t xml:space="preserve">x moyen (mm)</t>
  </si>
  <si>
    <t xml:space="preserve">Écart-type x (mm)</t>
  </si>
  <si>
    <t xml:space="preserve">d = x0 − x (mm)</t>
  </si>
  <si>
    <t xml:space="preserve">Affichage A1</t>
  </si>
  <si>
    <t xml:space="preserve">Affichage A2</t>
  </si>
  <si>
    <t xml:space="preserve">Affichage A3</t>
  </si>
  <si>
    <t xml:space="preserve">A moyen</t>
  </si>
  <si>
    <t xml:space="preserve">Remarque</t>
  </si>
  <si>
    <t xml:space="preserve">Écart tige montée − descente (mm)</t>
  </si>
  <si>
    <t xml:space="preserve">Écart affichage montée − descente</t>
  </si>
  <si>
    <t xml:space="preserve">EXEMPLE</t>
  </si>
  <si>
    <t xml:space="preserve">format attendu</t>
  </si>
  <si>
    <t xml:space="preserve">Hystérésis moyenne tige (mm)</t>
  </si>
  <si>
    <t xml:space="preserve">Montée</t>
  </si>
  <si>
    <t xml:space="preserve">AFFICHAGE — montée + descente</t>
  </si>
  <si>
    <t xml:space="preserve">Pente affichage / force (unités/N)</t>
  </si>
  <si>
    <t xml:space="preserve">Ordonnée à l'origine (unités)</t>
  </si>
  <si>
    <t xml:space="preserve">R² affichage / force</t>
  </si>
  <si>
    <t xml:space="preserve">Loi : F = a + b·A → b (N/unité)</t>
  </si>
  <si>
    <t xml:space="preserve">Loi : F = a + b·A → a (N)</t>
  </si>
  <si>
    <t xml:space="preserve">Pente affichage / déplacement tige (unités/mm)</t>
  </si>
  <si>
    <t xml:space="preserve">R² affichage / déplacement</t>
  </si>
  <si>
    <t xml:space="preserve">Hystérésis moyenne affichage (unités)</t>
  </si>
  <si>
    <t xml:space="preserve">CONTRÔLE DU ZÉRO</t>
  </si>
  <si>
    <t xml:space="preserve">Dérive x0 après − avant (mm)</t>
  </si>
  <si>
    <t xml:space="preserve">Dérive affichage après − avant</t>
  </si>
  <si>
    <t xml:space="preserve">Pour comparaison : campagne précédente k = 0,1206 N/mm, F0 = 0,328 N</t>
  </si>
  <si>
    <t xml:space="preserve">Descente</t>
  </si>
  <si>
    <t xml:space="preserve">Géométrie du ressort et calculs de cohérence</t>
  </si>
  <si>
    <t xml:space="preserve">Grandeur</t>
  </si>
  <si>
    <t xml:space="preserve">Mesure 1</t>
  </si>
  <si>
    <t xml:space="preserve">Mesure 2</t>
  </si>
  <si>
    <t xml:space="preserve">Mesure 3</t>
  </si>
  <si>
    <t xml:space="preserve">Moyenne</t>
  </si>
  <si>
    <t xml:space="preserve">Unité</t>
  </si>
  <si>
    <t xml:space="preserve">Exemple</t>
  </si>
  <si>
    <t xml:space="preserve">Consigne</t>
  </si>
  <si>
    <t xml:space="preserve">Lp : longueur montée, intérieur des boucles</t>
  </si>
  <si>
    <t xml:space="preserve">AVANT démontage, au zéro, becs à l'intérieur des boucles</t>
  </si>
  <si>
    <t xml:space="preserve">L0 : longueur libre, intérieur des boucles</t>
  </si>
  <si>
    <t xml:space="preserve">Mêmes points que Lp. Mesure clé</t>
  </si>
  <si>
    <t xml:space="preserve">L0 : longueur libre, extérieur des boucles</t>
  </si>
  <si>
    <t xml:space="preserve">Bout à bout, pour comparaison avec 17,71</t>
  </si>
  <si>
    <t xml:space="preserve">Longueur du corps de spires</t>
  </si>
  <si>
    <t xml:space="preserve">De la première à la dernière spire complète</t>
  </si>
  <si>
    <t xml:space="preserve">Nombre de spires du corps</t>
  </si>
  <si>
    <t xml:space="preserve">–</t>
  </si>
  <si>
    <t xml:space="preserve">Recompter</t>
  </si>
  <si>
    <t xml:space="preserve">Spires jointives ? (oui / non)</t>
  </si>
  <si>
    <t xml:space="preserve">oui</t>
  </si>
  <si>
    <t xml:space="preserve">À contre-jour : les spires se touchent-elles ?</t>
  </si>
  <si>
    <t xml:space="preserve">Diamètre du fil, mesure directe</t>
  </si>
  <si>
    <t xml:space="preserve">De (milieu / côté boucle 1 / côté boucle 2)</t>
  </si>
  <si>
    <t xml:space="preserve">Trois endroits différents</t>
  </si>
  <si>
    <t xml:space="preserve">Masse tige + curseur</t>
  </si>
  <si>
    <t xml:space="preserve">g</t>
  </si>
  <si>
    <t xml:space="preserve">Si balance disponible</t>
  </si>
  <si>
    <t xml:space="preserve">x0 après remontage</t>
  </si>
  <si>
    <t xml:space="preserve">Doit retrouver la valeur avant démontage</t>
  </si>
  <si>
    <t xml:space="preserve">Calculs</t>
  </si>
  <si>
    <t xml:space="preserve">G du matériau (N/mm²) — inox 69 000, acier 81 500</t>
  </si>
  <si>
    <t xml:space="preserve">dfil déduit du corps = longueur corps / n</t>
  </si>
  <si>
    <t xml:space="preserve">Valable seulement si spires jointives</t>
  </si>
  <si>
    <t xml:space="preserve">dfil retenu</t>
  </si>
  <si>
    <t xml:space="preserve">Corps/n si jointives, sinon mesure directe</t>
  </si>
  <si>
    <t xml:space="preserve">D = De − dfil</t>
  </si>
  <si>
    <t xml:space="preserve">k théorique = G·dfil⁴ / (8·n·D³)</t>
  </si>
  <si>
    <t xml:space="preserve">N/mm</t>
  </si>
  <si>
    <t xml:space="preserve">k mesuré (tige, montée + descente)</t>
  </si>
  <si>
    <t xml:space="preserve">Repris de l'onglet 1</t>
  </si>
  <si>
    <t xml:space="preserve">Écart k mesuré / k théorique</t>
  </si>
  <si>
    <t xml:space="preserve">Attendu dans ±16 % si dfil au pied, beaucoup moins si dfil = corps/n</t>
  </si>
  <si>
    <t xml:space="preserve">ΔLm = Lp − L0 (intérieur)</t>
  </si>
  <si>
    <t xml:space="preserve">Allongement de montage</t>
  </si>
  <si>
    <t xml:space="preserve">F0 attendu si Fi = 0 : k·ΔLm</t>
  </si>
  <si>
    <t xml:space="preserve">N</t>
  </si>
  <si>
    <t xml:space="preserve">F0 mesuré (tige, montée + descente)</t>
  </si>
  <si>
    <t xml:space="preserve">Tension initiale Fi = F0 mesuré − F0 attendu</t>
  </si>
  <si>
    <t xml:space="preserve">Doit être ≥ 0. Si négatif : incohérence toujours présente</t>
  </si>
  <si>
    <t xml:space="preserve">L0 déduit des mesures = Lp − F0 / k</t>
  </si>
  <si>
    <t xml:space="preserve">À comparer au L0 intérieur mesuré</t>
  </si>
  <si>
    <t xml:space="preserve">Poids des pièces mobiles (N)</t>
  </si>
  <si>
    <t xml:space="preserve">Si proche de |Fi|, il explique l'écart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</si>
</sst>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0"/>
    <numFmt numFmtId="167" formatCode="0.00"/>
    <numFmt numFmtId="168" formatCode="General"/>
    <numFmt numFmtId="169" formatCode="0.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060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A0A0A0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</row>
    <row r="4" customFormat="false" ht="15" hidden="false" customHeight="false" outlineLevel="0" collapsed="false">
      <c r="A4" s="5" t="s">
        <v>2</v>
      </c>
    </row>
    <row r="5" customFormat="false" ht="15" hidden="false" customHeight="false" outlineLevel="0" collapsed="false">
      <c r="A5" s="6" t="s">
        <v>3</v>
      </c>
    </row>
    <row r="6" customFormat="false" ht="15" hidden="false" customHeight="false" outlineLevel="0" collapsed="false">
      <c r="A6" s="7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Q38" activeCellId="0" sqref="Q3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1"/>
    <col collapsed="false" customWidth="true" hidden="false" outlineLevel="0" max="13" min="4" style="1" width="10"/>
    <col collapsed="false" customWidth="true" hidden="false" outlineLevel="0" max="14" min="14" style="1" width="18"/>
    <col collapsed="false" customWidth="true" hidden="false" outlineLevel="0" max="16" min="15" style="1" width="14"/>
    <col collapsed="false" customWidth="true" hidden="false" outlineLevel="0" max="17" min="17" style="1" width="44"/>
    <col collapsed="false" customWidth="true" hidden="false" outlineLevel="0" max="18" min="18" style="1" width="12"/>
  </cols>
  <sheetData>
    <row r="1" customFormat="false" ht="16.15" hidden="false" customHeight="false" outlineLevel="0" collapsed="false">
      <c r="A1" s="8" t="s">
        <v>19</v>
      </c>
    </row>
    <row r="2" customFormat="false" ht="15" hidden="false" customHeight="false" outlineLevel="0" collapsed="false">
      <c r="R2" s="9" t="s">
        <v>20</v>
      </c>
    </row>
    <row r="3" customFormat="false" ht="15" hidden="false" customHeight="false" outlineLevel="0" collapsed="false">
      <c r="A3" s="10" t="s">
        <v>21</v>
      </c>
      <c r="B3" s="10"/>
      <c r="C3" s="10"/>
      <c r="D3" s="11" t="n">
        <v>9.81</v>
      </c>
      <c r="E3" s="12" t="s">
        <v>22</v>
      </c>
      <c r="Q3" s="13" t="s">
        <v>23</v>
      </c>
    </row>
    <row r="4" customFormat="false" ht="15" hidden="false" customHeight="false" outlineLevel="0" collapsed="false">
      <c r="A4" s="10" t="s">
        <v>24</v>
      </c>
      <c r="B4" s="10"/>
      <c r="C4" s="10"/>
      <c r="D4" s="11" t="n">
        <v>27</v>
      </c>
      <c r="E4" s="12" t="s">
        <v>25</v>
      </c>
      <c r="Q4" s="3" t="s">
        <v>26</v>
      </c>
      <c r="R4" s="14" t="e">
        <f aca="false">iferrorg42(-1/SLOPE(G12:G27,C12:C27),"")</f>
        <v>#NAME?</v>
      </c>
    </row>
    <row r="5" customFormat="false" ht="15" hidden="false" customHeight="false" outlineLevel="0" collapsed="false">
      <c r="A5" s="10" t="s">
        <v>27</v>
      </c>
      <c r="B5" s="10"/>
      <c r="C5" s="10"/>
      <c r="D5" s="11" t="n">
        <v>0</v>
      </c>
      <c r="Q5" s="3" t="s">
        <v>28</v>
      </c>
      <c r="R5" s="15" t="n">
        <f aca="false">IFERROR((INTERCEPT(G12:G27,C12:C27)-$D$4)/(-SLOPE(G12:G27,C12:C27)),"")</f>
        <v>0.338186196311502</v>
      </c>
    </row>
    <row r="6" customFormat="false" ht="15" hidden="false" customHeight="false" outlineLevel="0" collapsed="false">
      <c r="A6" s="10" t="s">
        <v>29</v>
      </c>
      <c r="B6" s="10"/>
      <c r="C6" s="10"/>
      <c r="D6" s="11" t="n">
        <v>27</v>
      </c>
      <c r="Q6" s="3" t="s">
        <v>30</v>
      </c>
      <c r="R6" s="14" t="n">
        <f aca="false">IFERROR(RSQ(G12:G27,C12:C27),"")</f>
        <v>0.999056973802537</v>
      </c>
    </row>
    <row r="7" customFormat="false" ht="15" hidden="false" customHeight="false" outlineLevel="0" collapsed="false">
      <c r="A7" s="10" t="s">
        <v>31</v>
      </c>
      <c r="B7" s="10"/>
      <c r="C7" s="10"/>
      <c r="D7" s="11" t="n">
        <v>0</v>
      </c>
      <c r="Q7" s="13" t="s">
        <v>32</v>
      </c>
    </row>
    <row r="8" customFormat="false" ht="15" hidden="false" customHeight="false" outlineLevel="0" collapsed="false">
      <c r="A8" s="10" t="s">
        <v>33</v>
      </c>
      <c r="B8" s="10"/>
      <c r="C8" s="10"/>
      <c r="D8" s="11" t="s">
        <v>34</v>
      </c>
      <c r="Q8" s="3" t="s">
        <v>26</v>
      </c>
      <c r="R8" s="14" t="n">
        <f aca="false">IFERROR(-1/SLOPE(G12:G43,C12:C43),"")</f>
        <v>0.123452924051991</v>
      </c>
    </row>
    <row r="9" customFormat="false" ht="15" hidden="false" customHeight="false" outlineLevel="0" collapsed="false">
      <c r="Q9" s="3" t="s">
        <v>28</v>
      </c>
      <c r="R9" s="15" t="n">
        <f aca="false">IFERROR((INTERCEPT(G12:G43,C12:C43)-$D$4)/(-SLOPE(G12:G43,C12:C43)),"")</f>
        <v>0.342291443923752</v>
      </c>
    </row>
    <row r="10" customFormat="false" ht="42" hidden="false" customHeight="true" outlineLevel="0" collapsed="false">
      <c r="A10" s="16" t="s">
        <v>35</v>
      </c>
      <c r="B10" s="16" t="s">
        <v>36</v>
      </c>
      <c r="C10" s="16" t="s">
        <v>37</v>
      </c>
      <c r="D10" s="16" t="s">
        <v>38</v>
      </c>
      <c r="E10" s="16" t="s">
        <v>39</v>
      </c>
      <c r="F10" s="16" t="s">
        <v>40</v>
      </c>
      <c r="G10" s="16" t="s">
        <v>41</v>
      </c>
      <c r="H10" s="16" t="s">
        <v>42</v>
      </c>
      <c r="I10" s="16" t="s">
        <v>43</v>
      </c>
      <c r="J10" s="16" t="s">
        <v>44</v>
      </c>
      <c r="K10" s="16" t="s">
        <v>45</v>
      </c>
      <c r="L10" s="16" t="s">
        <v>46</v>
      </c>
      <c r="M10" s="16" t="s">
        <v>47</v>
      </c>
      <c r="N10" s="16" t="s">
        <v>48</v>
      </c>
      <c r="O10" s="16" t="s">
        <v>49</v>
      </c>
      <c r="P10" s="16" t="s">
        <v>50</v>
      </c>
      <c r="Q10" s="3" t="s">
        <v>30</v>
      </c>
      <c r="R10" s="14" t="n">
        <f aca="false">IFERROR(RSQ(G12:G43,C12:C43),"")</f>
        <v>0.998507570883248</v>
      </c>
    </row>
    <row r="11" customFormat="false" ht="15" hidden="false" customHeight="false" outlineLevel="0" collapsed="false">
      <c r="A11" s="17" t="s">
        <v>51</v>
      </c>
      <c r="B11" s="17" t="n">
        <v>100</v>
      </c>
      <c r="C11" s="18" t="n">
        <f aca="false">IF(B11="","",B11*$D$3/1000)</f>
        <v>0.981</v>
      </c>
      <c r="D11" s="17" t="n">
        <v>21.5</v>
      </c>
      <c r="E11" s="17" t="n">
        <v>21.7</v>
      </c>
      <c r="F11" s="17" t="n">
        <v>21.8</v>
      </c>
      <c r="G11" s="19" t="n">
        <f aca="false">IF(COUNT(D11:F11)=0,"",AVERAGE(D11:F11))</f>
        <v>21.6666666666667</v>
      </c>
      <c r="H11" s="19" t="n">
        <f aca="false">IF(COUNT(D11:F11)&lt;2,"",STDEV(D11:F11))</f>
        <v>0.152752523165195</v>
      </c>
      <c r="I11" s="19" t="n">
        <f aca="false">IF(G11="","",27-G11)</f>
        <v>5.33333333333333</v>
      </c>
      <c r="J11" s="17" t="n">
        <v>5.3</v>
      </c>
      <c r="K11" s="17" t="n">
        <v>5.4</v>
      </c>
      <c r="L11" s="17" t="n">
        <v>5.3</v>
      </c>
      <c r="M11" s="19" t="n">
        <f aca="false">IF(COUNT(J11:L11)=0,"",AVERAGE(J11:L11))</f>
        <v>5.33333333333333</v>
      </c>
      <c r="N11" s="17" t="s">
        <v>52</v>
      </c>
      <c r="O11" s="19"/>
      <c r="P11" s="19"/>
      <c r="Q11" s="3" t="s">
        <v>53</v>
      </c>
      <c r="R11" s="20" t="n">
        <f aca="false">IFERROR(AVERAGE(O28:O43),"")</f>
        <v>-0.0333333333333332</v>
      </c>
    </row>
    <row r="12" customFormat="false" ht="15" hidden="false" customHeight="false" outlineLevel="0" collapsed="false">
      <c r="A12" s="21" t="s">
        <v>54</v>
      </c>
      <c r="B12" s="11" t="n">
        <v>54</v>
      </c>
      <c r="C12" s="22" t="n">
        <f aca="false">IF(B12="","",B12*$D$3/1000)</f>
        <v>0.52974</v>
      </c>
      <c r="D12" s="11" t="n">
        <v>25.5</v>
      </c>
      <c r="E12" s="11" t="n">
        <v>25.5</v>
      </c>
      <c r="F12" s="11" t="n">
        <v>25.5</v>
      </c>
      <c r="G12" s="23" t="n">
        <f aca="false">IF(COUNT(D12:F12)=0,"",AVERAGE(D12:F12))</f>
        <v>25.5</v>
      </c>
      <c r="H12" s="23" t="n">
        <f aca="false">IF(COUNT(D12:F12)&lt;2,"",STDEV(D12:F12))</f>
        <v>0</v>
      </c>
      <c r="I12" s="23" t="n">
        <f aca="false">IF(OR(G12="",$D$4=""),"",$D$4-G12)</f>
        <v>1.5</v>
      </c>
      <c r="J12" s="11" t="n">
        <v>1.41</v>
      </c>
      <c r="K12" s="11" t="n">
        <v>1.4</v>
      </c>
      <c r="L12" s="11" t="n">
        <v>1.5</v>
      </c>
      <c r="M12" s="23" t="n">
        <f aca="false">IF(COUNT(J12:L12)=0,"",AVERAGE(J12:L12))</f>
        <v>1.43666666666667</v>
      </c>
      <c r="N12" s="11"/>
      <c r="O12" s="23"/>
      <c r="P12" s="23"/>
      <c r="Q12" s="13" t="s">
        <v>55</v>
      </c>
    </row>
    <row r="13" customFormat="false" ht="15" hidden="false" customHeight="false" outlineLevel="0" collapsed="false">
      <c r="A13" s="21" t="s">
        <v>54</v>
      </c>
      <c r="B13" s="11" t="n">
        <v>61</v>
      </c>
      <c r="C13" s="22" t="n">
        <f aca="false">IF(B13="","",B13*$D$3/1000)</f>
        <v>0.59841</v>
      </c>
      <c r="D13" s="11" t="n">
        <v>25</v>
      </c>
      <c r="E13" s="11" t="n">
        <v>25</v>
      </c>
      <c r="F13" s="11" t="n">
        <v>25</v>
      </c>
      <c r="G13" s="23" t="n">
        <f aca="false">IF(COUNT(D13:F13)=0,"",AVERAGE(D13:F13))</f>
        <v>25</v>
      </c>
      <c r="H13" s="23" t="n">
        <f aca="false">IF(COUNT(D13:F13)&lt;2,"",STDEV(D13:F13))</f>
        <v>0</v>
      </c>
      <c r="I13" s="23" t="n">
        <f aca="false">IF(OR(G13="",$D$4=""),"",$D$4-G13)</f>
        <v>2</v>
      </c>
      <c r="J13" s="11" t="n">
        <v>2.04</v>
      </c>
      <c r="K13" s="11" t="n">
        <v>2.08</v>
      </c>
      <c r="L13" s="11" t="n">
        <v>2.04</v>
      </c>
      <c r="M13" s="23" t="n">
        <f aca="false">IF(COUNT(J13:L13)=0,"",AVERAGE(J13:L13))</f>
        <v>2.05333333333333</v>
      </c>
      <c r="N13" s="11"/>
      <c r="O13" s="23"/>
      <c r="P13" s="23"/>
      <c r="Q13" s="3" t="s">
        <v>56</v>
      </c>
      <c r="R13" s="15" t="n">
        <f aca="false">IFERROR(SLOPE(M12:M43,C12:C43),"")</f>
        <v>8.14704225233728</v>
      </c>
    </row>
    <row r="14" customFormat="false" ht="15" hidden="false" customHeight="false" outlineLevel="0" collapsed="false">
      <c r="A14" s="21" t="s">
        <v>54</v>
      </c>
      <c r="B14" s="11" t="n">
        <v>72</v>
      </c>
      <c r="C14" s="22" t="n">
        <f aca="false">IF(B14="","",B14*$D$3/1000)</f>
        <v>0.70632</v>
      </c>
      <c r="D14" s="11" t="n">
        <v>24.1</v>
      </c>
      <c r="E14" s="11" t="n">
        <v>24</v>
      </c>
      <c r="F14" s="11" t="n">
        <v>24</v>
      </c>
      <c r="G14" s="23" t="n">
        <f aca="false">IF(COUNT(D14:F14)=0,"",AVERAGE(D14:F14))</f>
        <v>24.0333333333333</v>
      </c>
      <c r="H14" s="23" t="n">
        <f aca="false">IF(COUNT(D14:F14)&lt;2,"",STDEV(D14:F14))</f>
        <v>0.0577350269189634</v>
      </c>
      <c r="I14" s="23" t="n">
        <f aca="false">IF(OR(G14="",$D$4=""),"",$D$4-G14)</f>
        <v>2.96666666666667</v>
      </c>
      <c r="J14" s="11" t="n">
        <v>3.15</v>
      </c>
      <c r="K14" s="11" t="n">
        <v>3.11</v>
      </c>
      <c r="L14" s="11" t="n">
        <v>3.15</v>
      </c>
      <c r="M14" s="23" t="n">
        <f aca="false">IF(COUNT(J14:L14)=0,"",AVERAGE(J14:L14))</f>
        <v>3.13666666666667</v>
      </c>
      <c r="N14" s="11"/>
      <c r="O14" s="23"/>
      <c r="P14" s="23"/>
      <c r="Q14" s="3" t="s">
        <v>57</v>
      </c>
      <c r="R14" s="15" t="n">
        <f aca="false">IFERROR(INTERCEPT(M12:M43,C12:C43),"")</f>
        <v>-2.73561744967978</v>
      </c>
    </row>
    <row r="15" customFormat="false" ht="15" hidden="false" customHeight="false" outlineLevel="0" collapsed="false">
      <c r="A15" s="21" t="s">
        <v>54</v>
      </c>
      <c r="B15" s="11" t="n">
        <v>82</v>
      </c>
      <c r="C15" s="22" t="n">
        <f aca="false">IF(B15="","",B15*$D$3/1000)</f>
        <v>0.80442</v>
      </c>
      <c r="D15" s="11" t="n">
        <v>23</v>
      </c>
      <c r="E15" s="11" t="n">
        <v>23.1</v>
      </c>
      <c r="F15" s="11" t="n">
        <v>23</v>
      </c>
      <c r="G15" s="23" t="n">
        <f aca="false">IF(COUNT(D15:F15)=0,"",AVERAGE(D15:F15))</f>
        <v>23.0333333333333</v>
      </c>
      <c r="H15" s="23" t="n">
        <f aca="false">IF(COUNT(D15:F15)&lt;2,"",STDEV(D15:F15))</f>
        <v>0.0577350269189634</v>
      </c>
      <c r="I15" s="23" t="n">
        <f aca="false">IF(OR(G15="",$D$4=""),"",$D$4-G15)</f>
        <v>3.96666666666667</v>
      </c>
      <c r="J15" s="11" t="n">
        <v>3.9</v>
      </c>
      <c r="K15" s="11" t="n">
        <v>3.91</v>
      </c>
      <c r="L15" s="11" t="n">
        <v>3.91</v>
      </c>
      <c r="M15" s="23" t="n">
        <f aca="false">IF(COUNT(J15:L15)=0,"",AVERAGE(J15:L15))</f>
        <v>3.90666666666667</v>
      </c>
      <c r="N15" s="11"/>
      <c r="O15" s="23"/>
      <c r="P15" s="23"/>
      <c r="Q15" s="3" t="s">
        <v>58</v>
      </c>
      <c r="R15" s="14" t="n">
        <f aca="false">IFERROR(RSQ(M12:M43,C12:C43),"")</f>
        <v>0.998779149683161</v>
      </c>
    </row>
    <row r="16" customFormat="false" ht="15" hidden="false" customHeight="false" outlineLevel="0" collapsed="false">
      <c r="A16" s="21" t="s">
        <v>54</v>
      </c>
      <c r="B16" s="11" t="n">
        <v>95</v>
      </c>
      <c r="C16" s="22" t="n">
        <f aca="false">IF(B16="","",B16*$D$3/1000)</f>
        <v>0.93195</v>
      </c>
      <c r="D16" s="11" t="n">
        <v>22.1</v>
      </c>
      <c r="E16" s="11" t="n">
        <v>22.1</v>
      </c>
      <c r="F16" s="11" t="n">
        <v>22.2</v>
      </c>
      <c r="G16" s="23" t="n">
        <f aca="false">IF(COUNT(D16:F16)=0,"",AVERAGE(D16:F16))</f>
        <v>22.1333333333333</v>
      </c>
      <c r="H16" s="23" t="n">
        <f aca="false">IF(COUNT(D16:F16)&lt;2,"",STDEV(D16:F16))</f>
        <v>0.0577350269189613</v>
      </c>
      <c r="I16" s="23" t="n">
        <f aca="false">IF(OR(G16="",$D$4=""),"",$D$4-G16)</f>
        <v>4.86666666666666</v>
      </c>
      <c r="J16" s="11" t="n">
        <v>4.78</v>
      </c>
      <c r="K16" s="11" t="n">
        <v>4.79</v>
      </c>
      <c r="L16" s="11" t="n">
        <v>4.8</v>
      </c>
      <c r="M16" s="23" t="n">
        <f aca="false">IF(COUNT(J16:L16)=0,"",AVERAGE(J16:L16))</f>
        <v>4.79</v>
      </c>
      <c r="N16" s="11"/>
      <c r="O16" s="23"/>
      <c r="P16" s="23"/>
      <c r="Q16" s="3" t="s">
        <v>59</v>
      </c>
      <c r="R16" s="14" t="n">
        <f aca="false">IFERROR(1/R13,"")</f>
        <v>0.122743931972749</v>
      </c>
    </row>
    <row r="17" customFormat="false" ht="12.8" hidden="false" customHeight="false" outlineLevel="0" collapsed="false">
      <c r="A17" s="21" t="s">
        <v>54</v>
      </c>
      <c r="B17" s="11" t="n">
        <v>104</v>
      </c>
      <c r="C17" s="22" t="n">
        <f aca="false">IF(B17="","",B17*$D$3/1000)</f>
        <v>1.02024</v>
      </c>
      <c r="D17" s="11" t="n">
        <v>21.5</v>
      </c>
      <c r="E17" s="11" t="n">
        <v>21.8</v>
      </c>
      <c r="F17" s="11" t="n">
        <v>21.5</v>
      </c>
      <c r="G17" s="23" t="n">
        <f aca="false">IF(COUNT(D17:F17)=0,"",AVERAGE(D17:F17))</f>
        <v>21.6</v>
      </c>
      <c r="H17" s="23" t="n">
        <f aca="false">IF(COUNT(D17:F17)&lt;2,"",STDEV(D17:F17))</f>
        <v>0.173205080756888</v>
      </c>
      <c r="I17" s="23" t="n">
        <f aca="false">IF(OR(G17="",$D$4=""),"",$D$4-G17)</f>
        <v>5.4</v>
      </c>
      <c r="J17" s="11" t="n">
        <v>5.54</v>
      </c>
      <c r="K17" s="11" t="n">
        <v>5.55</v>
      </c>
      <c r="L17" s="11" t="n">
        <v>5.47</v>
      </c>
      <c r="M17" s="23" t="n">
        <f aca="false">IF(COUNT(J17:L17)=0,"",AVERAGE(J17:L17))</f>
        <v>5.52</v>
      </c>
      <c r="N17" s="11"/>
      <c r="O17" s="23"/>
      <c r="P17" s="23"/>
      <c r="Q17" s="3" t="s">
        <v>60</v>
      </c>
      <c r="R17" s="15" t="n">
        <f aca="false">IFERROR(-R14/R13,"")</f>
        <v>0.33578044214696</v>
      </c>
    </row>
    <row r="18" customFormat="false" ht="12.8" hidden="false" customHeight="false" outlineLevel="0" collapsed="false">
      <c r="A18" s="21" t="s">
        <v>54</v>
      </c>
      <c r="B18" s="11" t="n">
        <v>111</v>
      </c>
      <c r="C18" s="22" t="n">
        <f aca="false">IF(B18="","",B18*$D$3/1000)</f>
        <v>1.08891</v>
      </c>
      <c r="D18" s="11" t="n">
        <v>21</v>
      </c>
      <c r="E18" s="11" t="n">
        <v>21</v>
      </c>
      <c r="F18" s="11" t="n">
        <v>21</v>
      </c>
      <c r="G18" s="23" t="n">
        <f aca="false">IF(COUNT(D18:F18)=0,"",AVERAGE(D18:F18))</f>
        <v>21</v>
      </c>
      <c r="H18" s="23" t="n">
        <f aca="false">IF(COUNT(D18:F18)&lt;2,"",STDEV(D18:F18))</f>
        <v>0</v>
      </c>
      <c r="I18" s="23" t="n">
        <f aca="false">IF(OR(G18="",$D$4=""),"",$D$4-G18)</f>
        <v>6</v>
      </c>
      <c r="J18" s="11" t="n">
        <v>6.29</v>
      </c>
      <c r="K18" s="11" t="n">
        <v>6.28</v>
      </c>
      <c r="L18" s="11" t="n">
        <v>6.25</v>
      </c>
      <c r="M18" s="23" t="n">
        <f aca="false">IF(COUNT(J18:L18)=0,"",AVERAGE(J18:L18))</f>
        <v>6.27333333333333</v>
      </c>
      <c r="N18" s="11"/>
      <c r="O18" s="23"/>
      <c r="P18" s="23"/>
      <c r="Q18" s="3" t="s">
        <v>61</v>
      </c>
      <c r="R18" s="15" t="n">
        <f aca="false">IFERROR(SLOPE(M12:M43,I12:I43),"")</f>
        <v>1.00478450638756</v>
      </c>
    </row>
    <row r="19" customFormat="false" ht="12.8" hidden="false" customHeight="false" outlineLevel="0" collapsed="false">
      <c r="A19" s="21" t="s">
        <v>54</v>
      </c>
      <c r="B19" s="11" t="n">
        <v>124</v>
      </c>
      <c r="C19" s="22" t="n">
        <f aca="false">IF(B19="","",B19*$D$3/1000)</f>
        <v>1.21644</v>
      </c>
      <c r="D19" s="11" t="n">
        <v>20</v>
      </c>
      <c r="E19" s="11" t="n">
        <v>20</v>
      </c>
      <c r="F19" s="11" t="n">
        <v>20.1</v>
      </c>
      <c r="G19" s="23" t="n">
        <f aca="false">IF(COUNT(D19:F19)=0,"",AVERAGE(D19:F19))</f>
        <v>20.0333333333333</v>
      </c>
      <c r="H19" s="23" t="n">
        <f aca="false">IF(COUNT(D19:F19)&lt;2,"",STDEV(D19:F19))</f>
        <v>0.0577350269189634</v>
      </c>
      <c r="I19" s="23" t="n">
        <f aca="false">IF(OR(G19="",$D$4=""),"",$D$4-G19)</f>
        <v>6.96666666666667</v>
      </c>
      <c r="J19" s="11" t="n">
        <v>7.32</v>
      </c>
      <c r="K19" s="11" t="n">
        <v>7.3</v>
      </c>
      <c r="L19" s="11" t="n">
        <v>7.31</v>
      </c>
      <c r="M19" s="23" t="n">
        <f aca="false">IF(COUNT(J19:L19)=0,"",AVERAGE(J19:L19))</f>
        <v>7.31</v>
      </c>
      <c r="N19" s="11"/>
      <c r="O19" s="23"/>
      <c r="P19" s="23"/>
      <c r="Q19" s="3" t="s">
        <v>62</v>
      </c>
      <c r="R19" s="14" t="n">
        <f aca="false">IFERROR(RSQ(M12:M43,I12:I43),"")</f>
        <v>0.998300447219317</v>
      </c>
    </row>
    <row r="20" customFormat="false" ht="12.8" hidden="false" customHeight="false" outlineLevel="0" collapsed="false">
      <c r="A20" s="21" t="s">
        <v>54</v>
      </c>
      <c r="B20" s="11" t="n">
        <v>132</v>
      </c>
      <c r="C20" s="22" t="n">
        <f aca="false">IF(B20="","",B20*$D$3/1000)</f>
        <v>1.29492</v>
      </c>
      <c r="D20" s="11" t="n">
        <v>19</v>
      </c>
      <c r="E20" s="11" t="n">
        <v>19</v>
      </c>
      <c r="F20" s="11" t="n">
        <v>19</v>
      </c>
      <c r="G20" s="23" t="n">
        <f aca="false">IF(COUNT(D20:F20)=0,"",AVERAGE(D20:F20))</f>
        <v>19</v>
      </c>
      <c r="H20" s="23" t="n">
        <f aca="false">IF(COUNT(D20:F20)&lt;2,"",STDEV(D20:F20))</f>
        <v>0</v>
      </c>
      <c r="I20" s="23" t="n">
        <f aca="false">IF(OR(G20="",$D$4=""),"",$D$4-G20)</f>
        <v>8</v>
      </c>
      <c r="J20" s="11" t="n">
        <v>8.1</v>
      </c>
      <c r="K20" s="11" t="n">
        <v>8.18</v>
      </c>
      <c r="L20" s="11" t="n">
        <v>8.17</v>
      </c>
      <c r="M20" s="23" t="n">
        <f aca="false">IF(COUNT(J20:L20)=0,"",AVERAGE(J20:L20))</f>
        <v>8.15</v>
      </c>
      <c r="N20" s="11"/>
      <c r="O20" s="23"/>
      <c r="P20" s="23"/>
      <c r="Q20" s="3" t="s">
        <v>63</v>
      </c>
      <c r="R20" s="20" t="n">
        <f aca="false">IFERROR(AVERAGE(P28:P43),"")</f>
        <v>0.15</v>
      </c>
    </row>
    <row r="21" customFormat="false" ht="13.8" hidden="false" customHeight="false" outlineLevel="0" collapsed="false">
      <c r="A21" s="21" t="s">
        <v>54</v>
      </c>
      <c r="B21" s="11" t="n">
        <v>149</v>
      </c>
      <c r="C21" s="22" t="n">
        <f aca="false">IF(B21="","",B21*$D$3/1000)</f>
        <v>1.46169</v>
      </c>
      <c r="D21" s="11" t="n">
        <v>18</v>
      </c>
      <c r="E21" s="11" t="n">
        <v>18</v>
      </c>
      <c r="F21" s="11" t="n">
        <v>18.2</v>
      </c>
      <c r="G21" s="23" t="n">
        <f aca="false">IF(COUNT(D21:F21)=0,"",AVERAGE(D21:F21))</f>
        <v>18.0666666666667</v>
      </c>
      <c r="H21" s="23" t="n">
        <f aca="false">IF(COUNT(D21:F21)&lt;2,"",STDEV(D21:F21))</f>
        <v>0.115470053837925</v>
      </c>
      <c r="I21" s="23" t="n">
        <f aca="false">IF(OR(G21="",$D$4=""),"",$D$4-G21)</f>
        <v>8.93333333333333</v>
      </c>
      <c r="J21" s="11" t="n">
        <v>9.13</v>
      </c>
      <c r="K21" s="11" t="n">
        <v>9.15</v>
      </c>
      <c r="L21" s="11" t="n">
        <v>9.17</v>
      </c>
      <c r="M21" s="23" t="n">
        <f aca="false">IF(COUNT(J21:L21)=0,"",AVERAGE(J21:L21))</f>
        <v>9.15</v>
      </c>
      <c r="N21" s="11"/>
      <c r="O21" s="23"/>
      <c r="P21" s="23"/>
      <c r="Q21" s="13" t="s">
        <v>64</v>
      </c>
    </row>
    <row r="22" customFormat="false" ht="12.8" hidden="false" customHeight="false" outlineLevel="0" collapsed="false">
      <c r="A22" s="21" t="s">
        <v>54</v>
      </c>
      <c r="B22" s="11" t="n">
        <v>162</v>
      </c>
      <c r="C22" s="22" t="n">
        <f aca="false">IF(B22="","",B22*$D$3/1000)</f>
        <v>1.58922</v>
      </c>
      <c r="D22" s="11" t="n">
        <v>17</v>
      </c>
      <c r="E22" s="11" t="n">
        <v>17</v>
      </c>
      <c r="F22" s="11" t="n">
        <v>17</v>
      </c>
      <c r="G22" s="23" t="n">
        <f aca="false">IF(COUNT(D22:F22)=0,"",AVERAGE(D22:F22))</f>
        <v>17</v>
      </c>
      <c r="H22" s="23" t="n">
        <f aca="false">IF(COUNT(D22:F22)&lt;2,"",STDEV(D22:F22))</f>
        <v>0</v>
      </c>
      <c r="I22" s="23" t="n">
        <f aca="false">IF(OR(G22="",$D$4=""),"",$D$4-G22)</f>
        <v>10</v>
      </c>
      <c r="J22" s="11" t="n">
        <v>10.06</v>
      </c>
      <c r="K22" s="11" t="n">
        <v>10.04</v>
      </c>
      <c r="L22" s="11" t="n">
        <v>10.08</v>
      </c>
      <c r="M22" s="23" t="n">
        <f aca="false">IF(COUNT(J22:L22)=0,"",AVERAGE(J22:L22))</f>
        <v>10.06</v>
      </c>
      <c r="N22" s="11"/>
      <c r="O22" s="23"/>
      <c r="P22" s="23"/>
      <c r="Q22" s="3" t="s">
        <v>65</v>
      </c>
      <c r="R22" s="20" t="n">
        <f aca="false">IF(OR(D4="",D6=""),"",D6-D4)</f>
        <v>0</v>
      </c>
    </row>
    <row r="23" customFormat="false" ht="12.8" hidden="false" customHeight="false" outlineLevel="0" collapsed="false">
      <c r="A23" s="21" t="s">
        <v>54</v>
      </c>
      <c r="B23" s="11" t="n">
        <v>171</v>
      </c>
      <c r="C23" s="22" t="n">
        <f aca="false">IF(B23="","",B23*$D$3/1000)</f>
        <v>1.67751</v>
      </c>
      <c r="D23" s="11" t="n">
        <v>16.3</v>
      </c>
      <c r="E23" s="11" t="n">
        <v>16</v>
      </c>
      <c r="F23" s="11" t="n">
        <v>16.2</v>
      </c>
      <c r="G23" s="23" t="n">
        <f aca="false">IF(COUNT(D23:F23)=0,"",AVERAGE(D23:F23))</f>
        <v>16.1666666666667</v>
      </c>
      <c r="H23" s="23" t="n">
        <f aca="false">IF(COUNT(D23:F23)&lt;2,"",STDEV(D23:F23))</f>
        <v>0.152752523165195</v>
      </c>
      <c r="I23" s="23" t="n">
        <f aca="false">IF(OR(G23="",$D$4=""),"",$D$4-G23)</f>
        <v>10.8333333333333</v>
      </c>
      <c r="J23" s="11" t="n">
        <v>10.7</v>
      </c>
      <c r="K23" s="11" t="n">
        <v>10.82</v>
      </c>
      <c r="L23" s="11" t="n">
        <v>10.84</v>
      </c>
      <c r="M23" s="23" t="n">
        <f aca="false">IF(COUNT(J23:L23)=0,"",AVERAGE(J23:L23))</f>
        <v>10.7866666666667</v>
      </c>
      <c r="N23" s="11"/>
      <c r="O23" s="23"/>
      <c r="P23" s="23"/>
      <c r="Q23" s="3" t="s">
        <v>66</v>
      </c>
      <c r="R23" s="20" t="n">
        <f aca="false">IF(OR(D5="",D7=""),"",D7-D5)</f>
        <v>0</v>
      </c>
    </row>
    <row r="24" customFormat="false" ht="13.8" hidden="false" customHeight="false" outlineLevel="0" collapsed="false">
      <c r="A24" s="21" t="s">
        <v>54</v>
      </c>
      <c r="B24" s="11" t="n">
        <v>183</v>
      </c>
      <c r="C24" s="22" t="n">
        <f aca="false">IF(B24="","",B24*$D$3/1000)</f>
        <v>1.79523</v>
      </c>
      <c r="D24" s="11" t="n">
        <v>15.5</v>
      </c>
      <c r="E24" s="11" t="n">
        <v>15.1</v>
      </c>
      <c r="F24" s="11" t="n">
        <v>15.2</v>
      </c>
      <c r="G24" s="23" t="n">
        <f aca="false">IF(COUNT(D24:F24)=0,"",AVERAGE(D24:F24))</f>
        <v>15.2666666666667</v>
      </c>
      <c r="H24" s="23" t="n">
        <f aca="false">IF(COUNT(D24:F24)&lt;2,"",STDEV(D24:F24))</f>
        <v>0.208166599946614</v>
      </c>
      <c r="I24" s="23" t="n">
        <f aca="false">IF(OR(G24="",$D$4=""),"",$D$4-G24)</f>
        <v>11.7333333333333</v>
      </c>
      <c r="J24" s="11" t="n">
        <v>11.93</v>
      </c>
      <c r="K24" s="11" t="n">
        <v>11.91</v>
      </c>
      <c r="L24" s="11" t="n">
        <v>12.01</v>
      </c>
      <c r="M24" s="23" t="n">
        <f aca="false">IF(COUNT(J24:L24)=0,"",AVERAGE(J24:L24))</f>
        <v>11.95</v>
      </c>
      <c r="N24" s="11"/>
      <c r="O24" s="23"/>
      <c r="P24" s="23"/>
      <c r="Q24" s="13" t="s">
        <v>67</v>
      </c>
    </row>
    <row r="25" customFormat="false" ht="13.8" hidden="false" customHeight="false" outlineLevel="0" collapsed="false">
      <c r="A25" s="21" t="s">
        <v>54</v>
      </c>
      <c r="B25" s="11" t="n">
        <v>193</v>
      </c>
      <c r="C25" s="22" t="n">
        <f aca="false">IF(B25="","",B25*$D$3/1000)</f>
        <v>1.89333</v>
      </c>
      <c r="D25" s="11" t="n">
        <v>14.5</v>
      </c>
      <c r="E25" s="11" t="n">
        <v>14.2</v>
      </c>
      <c r="F25" s="11" t="n">
        <v>14.3</v>
      </c>
      <c r="G25" s="23" t="n">
        <f aca="false">IF(COUNT(D25:F25)=0,"",AVERAGE(D25:F25))</f>
        <v>14.3333333333333</v>
      </c>
      <c r="H25" s="23" t="n">
        <f aca="false">IF(COUNT(D25:F25)&lt;2,"",STDEV(D25:F25))</f>
        <v>0.152752523165195</v>
      </c>
      <c r="I25" s="23" t="n">
        <f aca="false">IF(OR(G25="",$D$4=""),"",$D$4-G25)</f>
        <v>12.6666666666667</v>
      </c>
      <c r="J25" s="11" t="n">
        <v>12.75</v>
      </c>
      <c r="K25" s="11" t="n">
        <v>12.7</v>
      </c>
      <c r="L25" s="11" t="n">
        <v>12.71</v>
      </c>
      <c r="M25" s="23" t="n">
        <f aca="false">IF(COUNT(J25:L25)=0,"",AVERAGE(J25:L25))</f>
        <v>12.72</v>
      </c>
      <c r="N25" s="11"/>
      <c r="O25" s="23"/>
      <c r="P25" s="23"/>
    </row>
    <row r="26" customFormat="false" ht="13.8" hidden="false" customHeight="false" outlineLevel="0" collapsed="false">
      <c r="A26" s="21" t="s">
        <v>54</v>
      </c>
      <c r="B26" s="11" t="n">
        <v>200</v>
      </c>
      <c r="C26" s="22" t="n">
        <f aca="false">IF(B26="","",B26*$D$3/1000)</f>
        <v>1.962</v>
      </c>
      <c r="D26" s="11" t="n">
        <v>14</v>
      </c>
      <c r="E26" s="11" t="n">
        <v>14</v>
      </c>
      <c r="F26" s="11" t="n">
        <v>14</v>
      </c>
      <c r="G26" s="23" t="n">
        <f aca="false">IF(COUNT(D26:F26)=0,"",AVERAGE(D26:F26))</f>
        <v>14</v>
      </c>
      <c r="H26" s="23" t="n">
        <f aca="false">IF(COUNT(D26:F26)&lt;2,"",STDEV(D26:F26))</f>
        <v>0</v>
      </c>
      <c r="I26" s="23" t="n">
        <f aca="false">IF(OR(G26="",$D$4=""),"",$D$4-G26)</f>
        <v>13</v>
      </c>
      <c r="J26" s="11" t="n">
        <v>13.14</v>
      </c>
      <c r="K26" s="11" t="n">
        <v>13.34</v>
      </c>
      <c r="L26" s="11" t="n">
        <v>13.4</v>
      </c>
      <c r="M26" s="23" t="n">
        <f aca="false">IF(COUNT(J26:L26)=0,"",AVERAGE(J26:L26))</f>
        <v>13.2933333333333</v>
      </c>
      <c r="N26" s="11"/>
      <c r="O26" s="23"/>
      <c r="P26" s="23"/>
    </row>
    <row r="27" customFormat="false" ht="13.8" hidden="false" customHeight="false" outlineLevel="0" collapsed="false">
      <c r="A27" s="21" t="s">
        <v>54</v>
      </c>
      <c r="B27" s="11" t="n">
        <v>191</v>
      </c>
      <c r="C27" s="22" t="n">
        <f aca="false">IF(B27="","",B27*$D$3/1000)</f>
        <v>1.87371</v>
      </c>
      <c r="D27" s="11" t="n">
        <v>14.5</v>
      </c>
      <c r="E27" s="11" t="n">
        <v>14.5</v>
      </c>
      <c r="F27" s="11" t="n">
        <v>14.8</v>
      </c>
      <c r="G27" s="23" t="n">
        <f aca="false">IF(COUNT(D27:F27)=0,"",AVERAGE(D27:F27))</f>
        <v>14.6</v>
      </c>
      <c r="H27" s="23" t="n">
        <f aca="false">IF(COUNT(D27:F27)&lt;2,"",STDEV(D27:F27))</f>
        <v>0.173205080756888</v>
      </c>
      <c r="I27" s="23" t="n">
        <f aca="false">IF(OR(G27="",$D$4=""),"",$D$4-G27)</f>
        <v>12.4</v>
      </c>
      <c r="J27" s="11" t="n">
        <v>12.45</v>
      </c>
      <c r="K27" s="11" t="n">
        <v>12.57</v>
      </c>
      <c r="L27" s="11" t="n">
        <v>12.41</v>
      </c>
      <c r="M27" s="23" t="n">
        <f aca="false">IF(COUNT(J27:L27)=0,"",AVERAGE(J27:L27))</f>
        <v>12.4766666666667</v>
      </c>
      <c r="N27" s="11"/>
      <c r="O27" s="23"/>
      <c r="P27" s="23"/>
    </row>
    <row r="28" customFormat="false" ht="13.8" hidden="false" customHeight="false" outlineLevel="0" collapsed="false">
      <c r="A28" s="21" t="s">
        <v>68</v>
      </c>
      <c r="B28" s="11" t="n">
        <v>181</v>
      </c>
      <c r="C28" s="22" t="n">
        <f aca="false">IF(B28="","",B28*$D$3/1000)</f>
        <v>1.77561</v>
      </c>
      <c r="D28" s="11" t="n">
        <v>15.2</v>
      </c>
      <c r="E28" s="11" t="n">
        <v>15.2</v>
      </c>
      <c r="F28" s="11" t="n">
        <v>15</v>
      </c>
      <c r="G28" s="23" t="n">
        <f aca="false">IF(COUNT(D28:F28)=0,"",AVERAGE(D28:F28))</f>
        <v>15.1333333333333</v>
      </c>
      <c r="H28" s="23" t="n">
        <f aca="false">IF(COUNT(D28:F28)&lt;2,"",STDEV(D28:F28))</f>
        <v>0.115470053837925</v>
      </c>
      <c r="I28" s="23" t="n">
        <f aca="false">IF(OR(G28="",$D$4=""),"",$D$4-G28)</f>
        <v>11.8666666666667</v>
      </c>
      <c r="J28" s="11" t="n">
        <v>11.68</v>
      </c>
      <c r="K28" s="11" t="n">
        <v>11.87</v>
      </c>
      <c r="L28" s="11" t="n">
        <v>11.8</v>
      </c>
      <c r="M28" s="23" t="n">
        <f aca="false">IF(COUNT(J28:L28)=0,"",AVERAGE(J28:L28))</f>
        <v>11.7833333333333</v>
      </c>
      <c r="N28" s="11"/>
      <c r="O28" s="23" t="str">
        <f aca="false">IFERROR(IF(G28="","",INDEX($G$12:$G$27,MATCH(B28,$B$12:$B$27,0))-G28),"")</f>
        <v/>
      </c>
      <c r="P28" s="23" t="str">
        <f aca="false">IFERROR(IF(M28="","",INDEX($M$12:$M$27,MATCH(B28,$B$12:$B$27,0))-M28),"")</f>
        <v/>
      </c>
    </row>
    <row r="29" customFormat="false" ht="13.8" hidden="false" customHeight="false" outlineLevel="0" collapsed="false">
      <c r="A29" s="21" t="s">
        <v>68</v>
      </c>
      <c r="B29" s="11" t="n">
        <v>171</v>
      </c>
      <c r="C29" s="22" t="n">
        <f aca="false">IF(B29="","",B29*$D$3/1000)</f>
        <v>1.67751</v>
      </c>
      <c r="D29" s="11" t="n">
        <v>16.1</v>
      </c>
      <c r="E29" s="11" t="n">
        <v>16</v>
      </c>
      <c r="F29" s="11" t="n">
        <v>16.3</v>
      </c>
      <c r="G29" s="23" t="n">
        <f aca="false">IF(COUNT(D29:F29)=0,"",AVERAGE(D29:F29))</f>
        <v>16.1333333333333</v>
      </c>
      <c r="H29" s="23" t="n">
        <f aca="false">IF(COUNT(D29:F29)&lt;2,"",STDEV(D29:F29))</f>
        <v>0.152752523165195</v>
      </c>
      <c r="I29" s="23" t="n">
        <f aca="false">IF(OR(G29="",$D$4=""),"",$D$4-G29)</f>
        <v>10.8666666666667</v>
      </c>
      <c r="J29" s="11" t="n">
        <v>10.88</v>
      </c>
      <c r="K29" s="11" t="n">
        <v>10.75</v>
      </c>
      <c r="L29" s="11" t="n">
        <v>10.8</v>
      </c>
      <c r="M29" s="23" t="n">
        <f aca="false">IF(COUNT(J29:L29)=0,"",AVERAGE(J29:L29))</f>
        <v>10.81</v>
      </c>
      <c r="N29" s="11"/>
      <c r="O29" s="23" t="n">
        <f aca="false">IFERROR(IF(G29="","",INDEX($G$12:$G$27,MATCH(B29,$B$12:$B$27,0))-G29),"")</f>
        <v>0.0333333333333314</v>
      </c>
      <c r="P29" s="23" t="n">
        <f aca="false">IFERROR(IF(M29="","",INDEX($M$12:$M$27,MATCH(B29,$B$12:$B$27,0))-M29),"")</f>
        <v>-0.0233333333333334</v>
      </c>
    </row>
    <row r="30" customFormat="false" ht="13.8" hidden="false" customHeight="false" outlineLevel="0" collapsed="false">
      <c r="A30" s="21" t="s">
        <v>68</v>
      </c>
      <c r="B30" s="11" t="n">
        <v>160</v>
      </c>
      <c r="C30" s="22" t="n">
        <f aca="false">IF(B30="","",B30*$D$3/1000)</f>
        <v>1.5696</v>
      </c>
      <c r="D30" s="11" t="n">
        <v>17</v>
      </c>
      <c r="E30" s="11" t="n">
        <v>17.1</v>
      </c>
      <c r="F30" s="11" t="n">
        <v>17</v>
      </c>
      <c r="G30" s="23" t="n">
        <f aca="false">IF(COUNT(D30:F30)=0,"",AVERAGE(D30:F30))</f>
        <v>17.0333333333333</v>
      </c>
      <c r="H30" s="23" t="n">
        <f aca="false">IF(COUNT(D30:F30)&lt;2,"",STDEV(D30:F30))</f>
        <v>0.0577350269189634</v>
      </c>
      <c r="I30" s="23" t="n">
        <f aca="false">IF(OR(G30="",$D$4=""),"",$D$4-G30)</f>
        <v>9.96666666666667</v>
      </c>
      <c r="J30" s="11" t="n">
        <v>10</v>
      </c>
      <c r="K30" s="11" t="n">
        <v>10.04</v>
      </c>
      <c r="L30" s="11" t="n">
        <v>10.05</v>
      </c>
      <c r="M30" s="23" t="n">
        <f aca="false">IF(COUNT(J30:L30)=0,"",AVERAGE(J30:L30))</f>
        <v>10.03</v>
      </c>
      <c r="N30" s="11"/>
      <c r="O30" s="23" t="str">
        <f aca="false">IFERROR(IF(G30="","",INDEX($G$12:$G$27,MATCH(B30,$B$12:$B$27,0))-G30),"")</f>
        <v/>
      </c>
      <c r="P30" s="23" t="str">
        <f aca="false">IFERROR(IF(M30="","",INDEX($M$12:$M$27,MATCH(B30,$B$12:$B$27,0))-M30),"")</f>
        <v/>
      </c>
    </row>
    <row r="31" customFormat="false" ht="13.8" hidden="false" customHeight="false" outlineLevel="0" collapsed="false">
      <c r="A31" s="21" t="s">
        <v>68</v>
      </c>
      <c r="B31" s="11" t="n">
        <v>151</v>
      </c>
      <c r="C31" s="22" t="n">
        <f aca="false">IF(B31="","",B31*$D$3/1000)</f>
        <v>1.48131</v>
      </c>
      <c r="D31" s="11" t="n">
        <v>17.9</v>
      </c>
      <c r="E31" s="11" t="n">
        <v>18</v>
      </c>
      <c r="F31" s="11" t="n">
        <v>18</v>
      </c>
      <c r="G31" s="23" t="n">
        <f aca="false">IF(COUNT(D31:F31)=0,"",AVERAGE(D31:F31))</f>
        <v>17.9666666666667</v>
      </c>
      <c r="H31" s="23" t="n">
        <f aca="false">IF(COUNT(D31:F31)&lt;2,"",STDEV(D31:F31))</f>
        <v>0.0577350269189634</v>
      </c>
      <c r="I31" s="23" t="n">
        <f aca="false">IF(OR(G31="",$D$4=""),"",$D$4-G31)</f>
        <v>9.03333333333334</v>
      </c>
      <c r="J31" s="11" t="n">
        <v>9.3</v>
      </c>
      <c r="K31" s="11" t="n">
        <v>9.3</v>
      </c>
      <c r="L31" s="11" t="n">
        <v>9.3</v>
      </c>
      <c r="M31" s="23" t="n">
        <f aca="false">IF(COUNT(J31:L31)=0,"",AVERAGE(J31:L31))</f>
        <v>9.3</v>
      </c>
      <c r="N31" s="11"/>
      <c r="O31" s="23" t="str">
        <f aca="false">IFERROR(IF(G31="","",INDEX($G$12:$G$27,MATCH(B31,$B$12:$B$27,0))-G31),"")</f>
        <v/>
      </c>
      <c r="P31" s="23" t="str">
        <f aca="false">IFERROR(IF(M31="","",INDEX($M$12:$M$27,MATCH(B31,$B$12:$B$27,0))-M31),"")</f>
        <v/>
      </c>
    </row>
    <row r="32" customFormat="false" ht="13.8" hidden="false" customHeight="false" outlineLevel="0" collapsed="false">
      <c r="A32" s="21" t="s">
        <v>68</v>
      </c>
      <c r="B32" s="11" t="n">
        <v>142</v>
      </c>
      <c r="C32" s="22" t="n">
        <f aca="false">IF(B32="","",B32*$D$3/1000)</f>
        <v>1.39302</v>
      </c>
      <c r="D32" s="11" t="n">
        <v>18.5</v>
      </c>
      <c r="E32" s="11" t="n">
        <v>18.5</v>
      </c>
      <c r="F32" s="11" t="n">
        <v>18.5</v>
      </c>
      <c r="G32" s="23" t="n">
        <f aca="false">IF(COUNT(D32:F32)=0,"",AVERAGE(D32:F32))</f>
        <v>18.5</v>
      </c>
      <c r="H32" s="23" t="n">
        <f aca="false">IF(COUNT(D32:F32)&lt;2,"",STDEV(D32:F32))</f>
        <v>0</v>
      </c>
      <c r="I32" s="23" t="n">
        <f aca="false">IF(OR(G32="",$D$4=""),"",$D$4-G32)</f>
        <v>8.5</v>
      </c>
      <c r="J32" s="11" t="n">
        <v>8.56</v>
      </c>
      <c r="K32" s="11" t="n">
        <v>8.57</v>
      </c>
      <c r="L32" s="11" t="n">
        <v>8.6</v>
      </c>
      <c r="M32" s="23" t="n">
        <f aca="false">IF(COUNT(J32:L32)=0,"",AVERAGE(J32:L32))</f>
        <v>8.57666666666667</v>
      </c>
      <c r="N32" s="11"/>
      <c r="O32" s="23" t="str">
        <f aca="false">IFERROR(IF(G32="","",INDEX($G$12:$G$27,MATCH(B32,$B$12:$B$27,0))-G32),"")</f>
        <v/>
      </c>
      <c r="P32" s="23" t="str">
        <f aca="false">IFERROR(IF(M32="","",INDEX($M$12:$M$27,MATCH(B32,$B$12:$B$27,0))-M32),"")</f>
        <v/>
      </c>
    </row>
    <row r="33" customFormat="false" ht="13.8" hidden="false" customHeight="false" outlineLevel="0" collapsed="false">
      <c r="A33" s="21" t="s">
        <v>68</v>
      </c>
      <c r="B33" s="11" t="n">
        <v>129</v>
      </c>
      <c r="C33" s="22" t="n">
        <f aca="false">IF(B33="","",B33*$D$3/1000)</f>
        <v>1.26549</v>
      </c>
      <c r="D33" s="11" t="n">
        <v>20</v>
      </c>
      <c r="E33" s="11" t="n">
        <v>19.5</v>
      </c>
      <c r="F33" s="11" t="n">
        <v>19.5</v>
      </c>
      <c r="G33" s="23" t="n">
        <f aca="false">IF(COUNT(D33:F33)=0,"",AVERAGE(D33:F33))</f>
        <v>19.6666666666667</v>
      </c>
      <c r="H33" s="23" t="n">
        <f aca="false">IF(COUNT(D33:F33)&lt;2,"",STDEV(D33:F33))</f>
        <v>0.288675134594813</v>
      </c>
      <c r="I33" s="23" t="n">
        <f aca="false">IF(OR(G33="",$D$4=""),"",$D$4-G33)</f>
        <v>7.33333333333333</v>
      </c>
      <c r="J33" s="11" t="n">
        <v>7.68</v>
      </c>
      <c r="K33" s="11" t="n">
        <v>7.72</v>
      </c>
      <c r="L33" s="11" t="n">
        <v>7.7</v>
      </c>
      <c r="M33" s="23" t="n">
        <f aca="false">IF(COUNT(J33:L33)=0,"",AVERAGE(J33:L33))</f>
        <v>7.7</v>
      </c>
      <c r="N33" s="11"/>
      <c r="O33" s="23" t="str">
        <f aca="false">IFERROR(IF(G33="","",INDEX($G$12:$G$27,MATCH(B33,$B$12:$B$27,0))-G33),"")</f>
        <v/>
      </c>
      <c r="P33" s="23" t="str">
        <f aca="false">IFERROR(IF(M33="","",INDEX($M$12:$M$27,MATCH(B33,$B$12:$B$27,0))-M33),"")</f>
        <v/>
      </c>
    </row>
    <row r="34" customFormat="false" ht="13.8" hidden="false" customHeight="false" outlineLevel="0" collapsed="false">
      <c r="A34" s="21" t="s">
        <v>68</v>
      </c>
      <c r="B34" s="11" t="n">
        <v>120</v>
      </c>
      <c r="C34" s="22" t="n">
        <f aca="false">IF(B34="","",B34*$D$3/1000)</f>
        <v>1.1772</v>
      </c>
      <c r="D34" s="11" t="n">
        <v>20.1</v>
      </c>
      <c r="E34" s="11" t="n">
        <v>20</v>
      </c>
      <c r="F34" s="11" t="n">
        <v>20.1</v>
      </c>
      <c r="G34" s="23" t="n">
        <f aca="false">IF(COUNT(D34:F34)=0,"",AVERAGE(D34:F34))</f>
        <v>20.0666666666667</v>
      </c>
      <c r="H34" s="23" t="n">
        <f aca="false">IF(COUNT(D34:F34)&lt;2,"",STDEV(D34:F34))</f>
        <v>0.0577350269189634</v>
      </c>
      <c r="I34" s="23" t="n">
        <f aca="false">IF(OR(G34="",$D$4=""),"",$D$4-G34)</f>
        <v>6.93333333333333</v>
      </c>
      <c r="J34" s="11" t="n">
        <v>6.85</v>
      </c>
      <c r="K34" s="11" t="n">
        <v>6.86</v>
      </c>
      <c r="L34" s="11" t="n">
        <v>6.84</v>
      </c>
      <c r="M34" s="23" t="n">
        <f aca="false">IF(COUNT(J34:L34)=0,"",AVERAGE(J34:L34))</f>
        <v>6.85</v>
      </c>
      <c r="N34" s="11"/>
      <c r="O34" s="23" t="str">
        <f aca="false">IFERROR(IF(G34="","",INDEX($G$12:$G$27,MATCH(B34,$B$12:$B$27,0))-G34),"")</f>
        <v/>
      </c>
      <c r="P34" s="23" t="str">
        <f aca="false">IFERROR(IF(M34="","",INDEX($M$12:$M$27,MATCH(B34,$B$12:$B$27,0))-M34),"")</f>
        <v/>
      </c>
    </row>
    <row r="35" customFormat="false" ht="13.8" hidden="false" customHeight="false" outlineLevel="0" collapsed="false">
      <c r="A35" s="21" t="s">
        <v>68</v>
      </c>
      <c r="B35" s="11" t="n">
        <v>111</v>
      </c>
      <c r="C35" s="22" t="n">
        <f aca="false">IF(B35="","",B35*$D$3/1000)</f>
        <v>1.08891</v>
      </c>
      <c r="D35" s="11" t="n">
        <v>21.2</v>
      </c>
      <c r="E35" s="11" t="n">
        <v>21.1</v>
      </c>
      <c r="F35" s="11" t="n">
        <v>21</v>
      </c>
      <c r="G35" s="23" t="n">
        <f aca="false">IF(COUNT(D35:F35)=0,"",AVERAGE(D35:F35))</f>
        <v>21.1</v>
      </c>
      <c r="H35" s="23" t="n">
        <f aca="false">IF(COUNT(D35:F35)&lt;2,"",STDEV(D35:F35))</f>
        <v>0.0999999999999996</v>
      </c>
      <c r="I35" s="23" t="n">
        <f aca="false">IF(OR(G35="",$D$4=""),"",$D$4-G35)</f>
        <v>5.9</v>
      </c>
      <c r="J35" s="11" t="n">
        <v>5.76</v>
      </c>
      <c r="K35" s="11" t="n">
        <v>6.02</v>
      </c>
      <c r="L35" s="11" t="n">
        <v>6.07</v>
      </c>
      <c r="M35" s="23" t="n">
        <f aca="false">IF(COUNT(J35:L35)=0,"",AVERAGE(J35:L35))</f>
        <v>5.95</v>
      </c>
      <c r="N35" s="11"/>
      <c r="O35" s="23" t="n">
        <f aca="false">IFERROR(IF(G35="","",INDEX($G$12:$G$27,MATCH(B35,$B$12:$B$27,0))-G35),"")</f>
        <v>-0.0999999999999979</v>
      </c>
      <c r="P35" s="23" t="n">
        <f aca="false">IFERROR(IF(M35="","",INDEX($M$12:$M$27,MATCH(B35,$B$12:$B$27,0))-M35),"")</f>
        <v>0.323333333333333</v>
      </c>
    </row>
    <row r="36" customFormat="false" ht="13.8" hidden="false" customHeight="false" outlineLevel="0" collapsed="false">
      <c r="A36" s="24"/>
      <c r="B36" s="25"/>
      <c r="C36" s="26"/>
      <c r="D36" s="25"/>
      <c r="E36" s="25"/>
      <c r="F36" s="25"/>
      <c r="G36" s="27"/>
      <c r="H36" s="27"/>
      <c r="I36" s="27"/>
      <c r="J36" s="25"/>
      <c r="K36" s="25"/>
      <c r="L36" s="25"/>
      <c r="M36" s="27"/>
      <c r="N36" s="25"/>
      <c r="O36" s="27"/>
      <c r="P36" s="27"/>
    </row>
    <row r="37" customFormat="false" ht="13.8" hidden="false" customHeight="false" outlineLevel="0" collapsed="false">
      <c r="A37" s="24"/>
      <c r="B37" s="25"/>
      <c r="C37" s="26"/>
      <c r="D37" s="25"/>
      <c r="E37" s="25"/>
      <c r="F37" s="25"/>
      <c r="G37" s="27"/>
      <c r="H37" s="27"/>
      <c r="I37" s="27"/>
      <c r="J37" s="25"/>
      <c r="K37" s="25"/>
      <c r="L37" s="25"/>
      <c r="M37" s="27"/>
      <c r="N37" s="25"/>
      <c r="O37" s="27"/>
      <c r="P37" s="27"/>
    </row>
    <row r="38" customFormat="false" ht="13.8" hidden="false" customHeight="false" outlineLevel="0" collapsed="false">
      <c r="A38" s="24"/>
      <c r="B38" s="25"/>
      <c r="C38" s="26"/>
      <c r="D38" s="25"/>
      <c r="E38" s="25"/>
      <c r="F38" s="25"/>
      <c r="G38" s="27"/>
      <c r="H38" s="27"/>
      <c r="I38" s="27"/>
      <c r="J38" s="25"/>
      <c r="K38" s="25"/>
      <c r="L38" s="25"/>
      <c r="M38" s="27"/>
      <c r="N38" s="25"/>
      <c r="O38" s="27"/>
      <c r="P38" s="27"/>
    </row>
    <row r="39" customFormat="false" ht="13.8" hidden="false" customHeight="false" outlineLevel="0" collapsed="false">
      <c r="A39" s="24"/>
      <c r="B39" s="25"/>
      <c r="C39" s="26"/>
      <c r="D39" s="25"/>
      <c r="E39" s="25"/>
      <c r="F39" s="25"/>
      <c r="G39" s="27"/>
      <c r="H39" s="27"/>
      <c r="I39" s="27"/>
      <c r="J39" s="25"/>
      <c r="K39" s="25"/>
      <c r="L39" s="25"/>
      <c r="M39" s="27"/>
      <c r="N39" s="25"/>
      <c r="O39" s="27"/>
      <c r="P39" s="27"/>
    </row>
    <row r="40" customFormat="false" ht="13.8" hidden="false" customHeight="false" outlineLevel="0" collapsed="false">
      <c r="A40" s="24"/>
      <c r="B40" s="25"/>
      <c r="C40" s="26"/>
      <c r="D40" s="25"/>
      <c r="E40" s="25"/>
      <c r="F40" s="25"/>
      <c r="G40" s="27"/>
      <c r="H40" s="27"/>
      <c r="I40" s="27"/>
      <c r="J40" s="25"/>
      <c r="K40" s="25"/>
      <c r="L40" s="25"/>
      <c r="M40" s="27"/>
      <c r="N40" s="25"/>
      <c r="O40" s="27"/>
      <c r="P40" s="27"/>
    </row>
    <row r="41" customFormat="false" ht="13.8" hidden="false" customHeight="false" outlineLevel="0" collapsed="false">
      <c r="A41" s="24"/>
      <c r="B41" s="25"/>
      <c r="C41" s="26"/>
      <c r="D41" s="25"/>
      <c r="E41" s="25"/>
      <c r="F41" s="25"/>
      <c r="G41" s="27"/>
      <c r="H41" s="27"/>
      <c r="I41" s="27"/>
      <c r="J41" s="25"/>
      <c r="K41" s="25"/>
      <c r="L41" s="25"/>
      <c r="M41" s="27"/>
      <c r="N41" s="25"/>
      <c r="O41" s="27"/>
      <c r="P41" s="27"/>
    </row>
    <row r="42" customFormat="false" ht="13.8" hidden="false" customHeight="false" outlineLevel="0" collapsed="false">
      <c r="A42" s="24"/>
      <c r="B42" s="25"/>
      <c r="C42" s="26"/>
      <c r="D42" s="25"/>
      <c r="E42" s="25"/>
      <c r="F42" s="25"/>
      <c r="G42" s="27"/>
      <c r="H42" s="27"/>
      <c r="I42" s="27"/>
      <c r="J42" s="25"/>
      <c r="K42" s="25"/>
      <c r="L42" s="25"/>
      <c r="M42" s="27"/>
      <c r="N42" s="25"/>
      <c r="O42" s="27"/>
      <c r="P42" s="27"/>
    </row>
    <row r="43" customFormat="false" ht="13.8" hidden="false" customHeight="false" outlineLevel="0" collapsed="false">
      <c r="A43" s="24"/>
      <c r="B43" s="25"/>
      <c r="C43" s="26"/>
      <c r="D43" s="25"/>
      <c r="E43" s="25"/>
      <c r="F43" s="25"/>
      <c r="G43" s="27"/>
      <c r="H43" s="27"/>
      <c r="I43" s="27"/>
      <c r="J43" s="25"/>
      <c r="K43" s="25"/>
      <c r="L43" s="25"/>
      <c r="M43" s="27"/>
      <c r="N43" s="25"/>
      <c r="O43" s="27"/>
      <c r="P43" s="27"/>
    </row>
  </sheetData>
  <mergeCells count="6">
    <mergeCell ref="A3:C3"/>
    <mergeCell ref="A4:C4"/>
    <mergeCell ref="A5:C5"/>
    <mergeCell ref="A6:C6"/>
    <mergeCell ref="A7:C7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1"/>
    <col collapsed="false" customWidth="true" hidden="false" outlineLevel="0" max="4" min="4" style="1" width="14"/>
    <col collapsed="false" customWidth="true" hidden="false" outlineLevel="0" max="7" min="5" style="1" width="11"/>
    <col collapsed="false" customWidth="true" hidden="false" outlineLevel="0" max="8" min="8" style="1" width="50"/>
  </cols>
  <sheetData>
    <row r="1" customFormat="false" ht="16.15" hidden="false" customHeight="false" outlineLevel="0" collapsed="false">
      <c r="A1" s="8" t="s">
        <v>69</v>
      </c>
    </row>
    <row r="3" customFormat="false" ht="15" hidden="false" customHeight="false" outlineLevel="0" collapsed="false">
      <c r="A3" s="16" t="s">
        <v>70</v>
      </c>
      <c r="B3" s="16" t="s">
        <v>71</v>
      </c>
      <c r="C3" s="16" t="s">
        <v>72</v>
      </c>
      <c r="D3" s="16" t="s">
        <v>73</v>
      </c>
      <c r="E3" s="16" t="s">
        <v>74</v>
      </c>
      <c r="F3" s="16" t="s">
        <v>75</v>
      </c>
      <c r="G3" s="16" t="s">
        <v>76</v>
      </c>
      <c r="H3" s="16" t="s">
        <v>77</v>
      </c>
    </row>
    <row r="4" customFormat="false" ht="15" hidden="false" customHeight="false" outlineLevel="0" collapsed="false">
      <c r="A4" s="21" t="s">
        <v>78</v>
      </c>
      <c r="B4" s="11"/>
      <c r="C4" s="11"/>
      <c r="D4" s="11"/>
      <c r="E4" s="22" t="str">
        <f aca="false">IF(COUNT(B4:D4)=0,"",AVERAGE(B4:D4))</f>
        <v/>
      </c>
      <c r="F4" s="21" t="s">
        <v>34</v>
      </c>
      <c r="G4" s="17" t="n">
        <v>21.7</v>
      </c>
      <c r="H4" s="21" t="s">
        <v>79</v>
      </c>
    </row>
    <row r="5" customFormat="false" ht="15" hidden="false" customHeight="false" outlineLevel="0" collapsed="false">
      <c r="A5" s="21" t="s">
        <v>80</v>
      </c>
      <c r="B5" s="11"/>
      <c r="C5" s="11"/>
      <c r="D5" s="11"/>
      <c r="E5" s="22" t="str">
        <f aca="false">IF(COUNT(B5:D5)=0,"",AVERAGE(B5:D5))</f>
        <v/>
      </c>
      <c r="F5" s="21" t="s">
        <v>34</v>
      </c>
      <c r="G5" s="17" t="n">
        <v>18.9</v>
      </c>
      <c r="H5" s="21" t="s">
        <v>81</v>
      </c>
    </row>
    <row r="6" customFormat="false" ht="15" hidden="false" customHeight="false" outlineLevel="0" collapsed="false">
      <c r="A6" s="21" t="s">
        <v>82</v>
      </c>
      <c r="B6" s="11" t="n">
        <v>17.71</v>
      </c>
      <c r="C6" s="11" t="n">
        <v>17.72</v>
      </c>
      <c r="D6" s="11" t="n">
        <v>17.71</v>
      </c>
      <c r="E6" s="22" t="n">
        <f aca="false">IF(COUNT(B6:D6)=0,"",AVERAGE(B6:D6))</f>
        <v>17.7133333333333</v>
      </c>
      <c r="F6" s="21" t="s">
        <v>34</v>
      </c>
      <c r="G6" s="17" t="n">
        <v>17.7</v>
      </c>
      <c r="H6" s="21" t="s">
        <v>83</v>
      </c>
    </row>
    <row r="7" customFormat="false" ht="15" hidden="false" customHeight="false" outlineLevel="0" collapsed="false">
      <c r="A7" s="21" t="s">
        <v>84</v>
      </c>
      <c r="B7" s="11" t="n">
        <v>10.63</v>
      </c>
      <c r="C7" s="11" t="n">
        <v>10.63</v>
      </c>
      <c r="D7" s="11" t="n">
        <v>10.63</v>
      </c>
      <c r="E7" s="22" t="n">
        <f aca="false">IF(COUNT(B7:D7)=0,"",AVERAGE(B7:D7))</f>
        <v>10.63</v>
      </c>
      <c r="F7" s="21" t="s">
        <v>34</v>
      </c>
      <c r="G7" s="17" t="n">
        <v>8.1</v>
      </c>
      <c r="H7" s="21" t="s">
        <v>85</v>
      </c>
    </row>
    <row r="8" customFormat="false" ht="15" hidden="false" customHeight="false" outlineLevel="0" collapsed="false">
      <c r="A8" s="21" t="s">
        <v>86</v>
      </c>
      <c r="B8" s="11" t="n">
        <v>27</v>
      </c>
      <c r="C8" s="21"/>
      <c r="D8" s="21"/>
      <c r="E8" s="28" t="n">
        <f aca="false">IF(B8="","",B8)</f>
        <v>27</v>
      </c>
      <c r="F8" s="21" t="s">
        <v>87</v>
      </c>
      <c r="G8" s="17" t="n">
        <v>27</v>
      </c>
      <c r="H8" s="21" t="s">
        <v>88</v>
      </c>
    </row>
    <row r="9" customFormat="false" ht="15" hidden="false" customHeight="false" outlineLevel="0" collapsed="false">
      <c r="A9" s="21" t="s">
        <v>89</v>
      </c>
      <c r="B9" s="11" t="s">
        <v>90</v>
      </c>
      <c r="C9" s="21"/>
      <c r="D9" s="21"/>
      <c r="E9" s="28" t="str">
        <f aca="false">IF(B9="","",B9)</f>
        <v>oui</v>
      </c>
      <c r="F9" s="21" t="s">
        <v>87</v>
      </c>
      <c r="G9" s="17" t="s">
        <v>90</v>
      </c>
      <c r="H9" s="21" t="s">
        <v>91</v>
      </c>
    </row>
    <row r="10" customFormat="false" ht="15" hidden="false" customHeight="false" outlineLevel="0" collapsed="false">
      <c r="A10" s="21" t="s">
        <v>92</v>
      </c>
      <c r="B10" s="11" t="n">
        <v>0.3</v>
      </c>
      <c r="C10" s="11"/>
      <c r="D10" s="11"/>
      <c r="E10" s="22" t="n">
        <f aca="false">IF(COUNT(B10:D10)=0,"",AVERAGE(B10:D10))</f>
        <v>0.3</v>
      </c>
      <c r="F10" s="21" t="s">
        <v>34</v>
      </c>
      <c r="G10" s="17" t="n">
        <v>0.3</v>
      </c>
      <c r="H10" s="21"/>
    </row>
    <row r="11" customFormat="false" ht="15" hidden="false" customHeight="false" outlineLevel="0" collapsed="false">
      <c r="A11" s="21" t="s">
        <v>93</v>
      </c>
      <c r="B11" s="11" t="n">
        <v>3</v>
      </c>
      <c r="C11" s="11" t="n">
        <v>3</v>
      </c>
      <c r="D11" s="11" t="n">
        <v>3</v>
      </c>
      <c r="E11" s="22" t="n">
        <f aca="false">IF(COUNT(B11:D11)=0,"",AVERAGE(B11:D11))</f>
        <v>3</v>
      </c>
      <c r="F11" s="21" t="s">
        <v>34</v>
      </c>
      <c r="G11" s="17" t="n">
        <v>3</v>
      </c>
      <c r="H11" s="21" t="s">
        <v>94</v>
      </c>
    </row>
    <row r="12" customFormat="false" ht="15" hidden="false" customHeight="false" outlineLevel="0" collapsed="false">
      <c r="A12" s="21" t="s">
        <v>95</v>
      </c>
      <c r="B12" s="11"/>
      <c r="C12" s="21"/>
      <c r="D12" s="21"/>
      <c r="E12" s="22" t="str">
        <f aca="false">IF(COUNT(B12:D12)=0,"",AVERAGE(B12:D12))</f>
        <v/>
      </c>
      <c r="F12" s="21" t="s">
        <v>96</v>
      </c>
      <c r="G12" s="17" t="n">
        <v>15</v>
      </c>
      <c r="H12" s="21" t="s">
        <v>97</v>
      </c>
    </row>
    <row r="13" customFormat="false" ht="15" hidden="false" customHeight="false" outlineLevel="0" collapsed="false">
      <c r="A13" s="21" t="s">
        <v>98</v>
      </c>
      <c r="B13" s="11"/>
      <c r="C13" s="21"/>
      <c r="D13" s="21"/>
      <c r="E13" s="22" t="str">
        <f aca="false">IF(COUNT(B13:D13)=0,"",AVERAGE(B13:D13))</f>
        <v/>
      </c>
      <c r="F13" s="21" t="s">
        <v>34</v>
      </c>
      <c r="G13" s="17" t="n">
        <v>27</v>
      </c>
      <c r="H13" s="21" t="s">
        <v>99</v>
      </c>
    </row>
    <row r="16" customFormat="false" ht="15" hidden="false" customHeight="false" outlineLevel="0" collapsed="false">
      <c r="A16" s="9" t="s">
        <v>100</v>
      </c>
    </row>
    <row r="17" customFormat="false" ht="15" hidden="false" customHeight="false" outlineLevel="0" collapsed="false">
      <c r="A17" s="21" t="s">
        <v>101</v>
      </c>
      <c r="B17" s="11" t="n">
        <v>69000</v>
      </c>
    </row>
    <row r="18" customFormat="false" ht="15" hidden="false" customHeight="false" outlineLevel="0" collapsed="false">
      <c r="A18" s="21" t="s">
        <v>21</v>
      </c>
      <c r="B18" s="29" t="n">
        <f aca="false">1_Etalonnage!D3</f>
        <v>9.81</v>
      </c>
    </row>
    <row r="19" customFormat="false" ht="15" hidden="false" customHeight="false" outlineLevel="0" collapsed="false">
      <c r="A19" s="21" t="s">
        <v>102</v>
      </c>
      <c r="B19" s="14" t="n">
        <f aca="false">IF(OR(E7="",E8=""),"",E7/E8)</f>
        <v>0.393703703703704</v>
      </c>
      <c r="C19" s="21" t="s">
        <v>34</v>
      </c>
      <c r="D19" s="30" t="s">
        <v>103</v>
      </c>
    </row>
    <row r="20" customFormat="false" ht="15" hidden="false" customHeight="false" outlineLevel="0" collapsed="false">
      <c r="A20" s="21" t="s">
        <v>104</v>
      </c>
      <c r="B20" s="14" t="n">
        <f aca="false">IF(E9="oui",B19,IF(E10="","",E10))</f>
        <v>0.393703703703704</v>
      </c>
      <c r="C20" s="21" t="s">
        <v>34</v>
      </c>
      <c r="D20" s="30" t="s">
        <v>105</v>
      </c>
    </row>
    <row r="21" customFormat="false" ht="15" hidden="false" customHeight="false" outlineLevel="0" collapsed="false">
      <c r="A21" s="21" t="s">
        <v>106</v>
      </c>
      <c r="B21" s="15" t="n">
        <f aca="false">IF(OR(E11="",B20=""),"",E11-B20)</f>
        <v>2.6062962962963</v>
      </c>
      <c r="C21" s="21" t="s">
        <v>34</v>
      </c>
      <c r="D21" s="30"/>
    </row>
    <row r="22" customFormat="false" ht="15" hidden="false" customHeight="false" outlineLevel="0" collapsed="false">
      <c r="A22" s="21" t="s">
        <v>107</v>
      </c>
      <c r="B22" s="14" t="n">
        <f aca="false">IFERROR(B17*B20^4/(8*E8*B21^3),"")</f>
        <v>0.433512855257042</v>
      </c>
      <c r="C22" s="21" t="s">
        <v>108</v>
      </c>
      <c r="D22" s="30"/>
    </row>
    <row r="23" customFormat="false" ht="15" hidden="false" customHeight="false" outlineLevel="0" collapsed="false">
      <c r="A23" s="21" t="s">
        <v>109</v>
      </c>
      <c r="B23" s="14" t="n">
        <f aca="false">IF(1_Etalonnage!R8="","",1_Etalonnage!R8)</f>
        <v>0.123452924051991</v>
      </c>
      <c r="C23" s="21" t="s">
        <v>108</v>
      </c>
      <c r="D23" s="30" t="s">
        <v>110</v>
      </c>
    </row>
    <row r="24" customFormat="false" ht="15" hidden="false" customHeight="false" outlineLevel="0" collapsed="false">
      <c r="A24" s="21" t="s">
        <v>111</v>
      </c>
      <c r="B24" s="31" t="n">
        <f aca="false">IFERROR(B23/B22-1,"")</f>
        <v>-0.715226613109794</v>
      </c>
      <c r="C24" s="21"/>
      <c r="D24" s="30" t="s">
        <v>112</v>
      </c>
    </row>
    <row r="25" customFormat="false" ht="15" hidden="false" customHeight="false" outlineLevel="0" collapsed="false">
      <c r="A25" s="21" t="s">
        <v>113</v>
      </c>
      <c r="B25" s="20" t="str">
        <f aca="false">IF(OR(E4="",E5=""),"",E4-E5)</f>
        <v/>
      </c>
      <c r="C25" s="21" t="s">
        <v>34</v>
      </c>
      <c r="D25" s="30" t="s">
        <v>114</v>
      </c>
    </row>
    <row r="26" customFormat="false" ht="15" hidden="false" customHeight="false" outlineLevel="0" collapsed="false">
      <c r="A26" s="21" t="s">
        <v>115</v>
      </c>
      <c r="B26" s="15" t="str">
        <f aca="false">IFERROR(B23*B25,"")</f>
        <v/>
      </c>
      <c r="C26" s="21" t="s">
        <v>116</v>
      </c>
      <c r="D26" s="30"/>
    </row>
    <row r="27" customFormat="false" ht="15" hidden="false" customHeight="false" outlineLevel="0" collapsed="false">
      <c r="A27" s="21" t="s">
        <v>117</v>
      </c>
      <c r="B27" s="15" t="n">
        <f aca="false">IF(1_Etalonnage!R9="","",1_Etalonnage!R9)</f>
        <v>0.342291443923752</v>
      </c>
      <c r="C27" s="21" t="s">
        <v>116</v>
      </c>
      <c r="D27" s="30" t="s">
        <v>110</v>
      </c>
    </row>
    <row r="28" customFormat="false" ht="15" hidden="false" customHeight="false" outlineLevel="0" collapsed="false">
      <c r="A28" s="21" t="s">
        <v>118</v>
      </c>
      <c r="B28" s="15" t="str">
        <f aca="false">IFERROR(B27-B26,"")</f>
        <v/>
      </c>
      <c r="C28" s="21" t="s">
        <v>116</v>
      </c>
      <c r="D28" s="30" t="s">
        <v>119</v>
      </c>
    </row>
    <row r="29" customFormat="false" ht="15" hidden="false" customHeight="false" outlineLevel="0" collapsed="false">
      <c r="A29" s="21" t="s">
        <v>120</v>
      </c>
      <c r="B29" s="20" t="str">
        <f aca="false">IFERROR(E4-B27/B23,"")</f>
        <v/>
      </c>
      <c r="C29" s="21" t="s">
        <v>34</v>
      </c>
      <c r="D29" s="30" t="s">
        <v>121</v>
      </c>
    </row>
    <row r="30" customFormat="false" ht="15" hidden="false" customHeight="false" outlineLevel="0" collapsed="false">
      <c r="A30" s="21" t="s">
        <v>122</v>
      </c>
      <c r="B30" s="15" t="str">
        <f aca="false">IF(E12="","",E12*B18/1000)</f>
        <v/>
      </c>
      <c r="C30" s="21" t="s">
        <v>116</v>
      </c>
      <c r="D30" s="3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2026-09-23T19:48:02Z</dcterms:created>
  <dc:creator>openpyxl</dc:creator>
  <dc:description/>
  <dc:language>en-US</dc:language>
  <cp:lastModifiedBy/>
  <dcterms:modified xsi:type="dcterms:W3CDTF">2026-09-24T11:33:36Z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